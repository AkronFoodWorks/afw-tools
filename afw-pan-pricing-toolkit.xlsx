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rving Size Guide" sheetId="2" state="visible" r:id="rId4"/>
    <sheet name="Pan Pricing Calculator" sheetId="3" state="visible" r:id="rId5"/>
    <sheet name="Quote Builder" sheetId="4" state="visible" r:id="rId6"/>
  </sheets>
  <definedNames>
    <definedName function="false" hidden="false" name="DishList" vbProcedure="false">OFFSET('Pan Pricing Calculator'!$B$10,0,0,MAX(1,COUNTA('Pan Pricing Calculator'!$B$10:$B$19)),1)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7" authorId="0">
      <text>
        <r>
          <rPr>
            <sz val="10"/>
            <rFont val="Arial"/>
            <family val="2"/>
          </rPr>
          <t xml:space="preserve">Full pan minus empty pan. The scale counts the food for you.</t>
        </r>
      </text>
    </comment>
    <comment ref="F7" authorId="0">
      <text>
        <r>
          <rPr>
            <sz val="10"/>
            <rFont val="Arial"/>
            <family val="2"/>
          </rPr>
          <t xml:space="preserve">Pick from the Serving Size Guide tab. Jollof is the anchor of the plate, so 6–8 oz.</t>
        </r>
      </text>
    </comment>
    <comment ref="M7" authorId="0">
      <text>
        <r>
          <rPr>
            <sz val="10"/>
            <rFont val="Arial"/>
            <family val="2"/>
          </rPr>
          <t xml:space="preserve">Margin = share of the price that is profit above cost. 0.40 = 40%. Price = cost / (1 − margin).</t>
        </r>
      </text>
    </comment>
  </commentList>
</comments>
</file>

<file path=xl/sharedStrings.xml><?xml version="1.0" encoding="utf-8"?>
<sst xmlns="http://schemas.openxmlformats.org/spreadsheetml/2006/main" count="98" uniqueCount="94">
  <si>
    <t xml:space="preserve">PRICING BY THE SERVING</t>
  </si>
  <si>
    <t xml:space="preserve">Turn a pan of food into a per-person price you can trust</t>
  </si>
  <si>
    <t xml:space="preserve">THE PROBLEM</t>
  </si>
  <si>
    <t xml:space="preserve">Customers ask "how much for a pan?" — so that's how you've priced. But a "pan" isn't a fixed amount. How full you pack it, how deep the dish is, and what's in it all change how many people it actually feeds. When you divide a pan price by a number of servings you guessed by eye, you never really know your cost or your profit per plate.</t>
  </si>
  <si>
    <t xml:space="preserve">THE FIX:  PORTION BY WEIGHT</t>
  </si>
  <si>
    <t xml:space="preserve">Weight is the one honest unit. It works the same for jollof rice, lasagna, greens, mac &amp; cheese — anything. Do it once per dish and you'll never guess again. All you need is a $15 kitchen scale.</t>
  </si>
  <si>
    <t xml:space="preserve">  1   Weigh the EMPTY pan.</t>
  </si>
  <si>
    <t xml:space="preserve">        Write down the number (in ounces).</t>
  </si>
  <si>
    <t xml:space="preserve">  2   Weigh the FULL pan.</t>
  </si>
  <si>
    <t xml:space="preserve">        Same scale, dish packed the way you'd sell it.</t>
  </si>
  <si>
    <t xml:space="preserve">  3   Food weight = Full − Empty.</t>
  </si>
  <si>
    <t xml:space="preserve">        The scale did the honest counting for you.</t>
  </si>
  <si>
    <t xml:space="preserve">  4   Pick a serving size (oz).</t>
  </si>
  <si>
    <t xml:space="preserve">        Use the Serving Size Guide tab as a starting point.</t>
  </si>
  <si>
    <t xml:space="preserve">  5   Servings = Food weight ÷ Serving size.</t>
  </si>
  <si>
    <t xml:space="preserve">        Now you know how many plates a pan really makes.</t>
  </si>
  <si>
    <t xml:space="preserve">  6   Add your costs &amp; margin.</t>
  </si>
  <si>
    <t xml:space="preserve">        The calculator gives you price per serving AND per pan.</t>
  </si>
  <si>
    <t xml:space="preserve">COST vs. PRICE — keep them separate</t>
  </si>
  <si>
    <t xml:space="preserve">Cost per serving = (ingredients + labor + packaging) ÷ servings.  This is what a plate COSTS you.
Price per serving = cost ÷ (1 − your margin).  This is what you CHARGE.
Seeing both side by side is how you finally know your real profit on every plate.</t>
  </si>
  <si>
    <t xml:space="preserve">HOW TO USE THIS WORKBOOK</t>
  </si>
  <si>
    <t xml:space="preserve">▸  Serving Size Guide</t>
  </si>
  <si>
    <t xml:space="preserve">     Reference table of typical portion weights. Start here to pick a serving size.</t>
  </si>
  <si>
    <t xml:space="preserve">▸  Pan Pricing Calculator</t>
  </si>
  <si>
    <t xml:space="preserve">     Your main tool. Fill the shaded cells; everything else calculates itself. Two dishes in the EXAMPLES block show how it works — enter your own in the YOUR DISHES rows beneath them.</t>
  </si>
  <si>
    <t xml:space="preserve">▸  Quote Builder</t>
  </si>
  <si>
    <t xml:space="preserve">     A client wants X guests fed? This tells you how many pans to make and what to quote.</t>
  </si>
  <si>
    <t xml:space="preserve">  Shaded cells = you type here.   White cells = the workbook fills them in.  </t>
  </si>
  <si>
    <t xml:space="preserve">SERVING SIZE GUIDE</t>
  </si>
  <si>
    <t xml:space="preserve">Typical portion weights. These are starting points — set YOUR own number per dish and write it down once.</t>
  </si>
  <si>
    <t xml:space="preserve">Dish type</t>
  </si>
  <si>
    <t xml:space="preserve">Serving size (oz)</t>
  </si>
  <si>
    <t xml:space="preserve">Notes</t>
  </si>
  <si>
    <t xml:space="preserve">Protein — main course</t>
  </si>
  <si>
    <t xml:space="preserve">6 – 8</t>
  </si>
  <si>
    <t xml:space="preserve">Bone-in cuts run heavier. This is the star of the plate.</t>
  </si>
  <si>
    <t xml:space="preserve">Protein — buffet / multiple dishes</t>
  </si>
  <si>
    <t xml:space="preserve">4 – 5</t>
  </si>
  <si>
    <t xml:space="preserve">People take less when there's variety on the table.</t>
  </si>
  <si>
    <t xml:space="preserve">Rice / starch — as the anchor</t>
  </si>
  <si>
    <t xml:space="preserve">e.g. jollof where rice is the main event.</t>
  </si>
  <si>
    <t xml:space="preserve">Rice / starch — as a side</t>
  </si>
  <si>
    <t xml:space="preserve">4 – 6</t>
  </si>
  <si>
    <t xml:space="preserve">About ¾–1 cup cooked.</t>
  </si>
  <si>
    <t xml:space="preserve">Casserole (lasagna) — main</t>
  </si>
  <si>
    <t xml:space="preserve">8 – 10</t>
  </si>
  <si>
    <t xml:space="preserve">Roughly 1/8 to 1/10 of a 9×13 pan.</t>
  </si>
  <si>
    <t xml:space="preserve">Casserole — side / buffet</t>
  </si>
  <si>
    <t xml:space="preserve">5 – 6</t>
  </si>
  <si>
    <t xml:space="preserve">Smaller cut alongside other mains.</t>
  </si>
  <si>
    <t xml:space="preserve">Vegetables / sides</t>
  </si>
  <si>
    <t xml:space="preserve">3 – 4</t>
  </si>
  <si>
    <t xml:space="preserve">Greens, beans, roasted veg.</t>
  </si>
  <si>
    <t xml:space="preserve">Stew / soup (with a starch)</t>
  </si>
  <si>
    <t xml:space="preserve">By weight in the bowl, starch served separately.</t>
  </si>
  <si>
    <t xml:space="preserve">  Handy conversions:   1 lb = 16 oz     •     1 cup cooked rice ≈ 6–7 oz     •     scoop sizes drift, so weigh instead</t>
  </si>
  <si>
    <t xml:space="preserve">Tip: match the serving size to how the food is being served. A plated dinner where your dish is the main gets the larger number; a buffet with 5 other options gets the smaller one.</t>
  </si>
  <si>
    <t xml:space="preserve">PAN PRICING CALCULATOR</t>
  </si>
  <si>
    <t xml:space="preserve">Fill the shaded cells. White columns calculate automatically. Two examples are filled in — type over them or add your own rows below.</t>
  </si>
  <si>
    <t xml:space="preserve">WEIGH THE PAN</t>
  </si>
  <si>
    <t xml:space="preserve">YOUR COSTS</t>
  </si>
  <si>
    <t xml:space="preserve">SET YOUR PRICE</t>
  </si>
  <si>
    <t xml:space="preserve">Dish</t>
  </si>
  <si>
    <t xml:space="preserve">Empty pan (oz)</t>
  </si>
  <si>
    <t xml:space="preserve">Full pan (oz)</t>
  </si>
  <si>
    <t xml:space="preserve">Food wt (oz)</t>
  </si>
  <si>
    <t xml:space="preserve">Serving (oz)</t>
  </si>
  <si>
    <t xml:space="preserve">Servings</t>
  </si>
  <si>
    <t xml:space="preserve">Ingredients ($)</t>
  </si>
  <si>
    <t xml:space="preserve">Labor ($)</t>
  </si>
  <si>
    <t xml:space="preserve">Packaging ($)</t>
  </si>
  <si>
    <t xml:space="preserve">Total cost ($)</t>
  </si>
  <si>
    <t xml:space="preserve">Cost / serving</t>
  </si>
  <si>
    <t xml:space="preserve">Margin %</t>
  </si>
  <si>
    <t xml:space="preserve">Price / serving</t>
  </si>
  <si>
    <t xml:space="preserve">Price / pan</t>
  </si>
  <si>
    <t xml:space="preserve">  EXAMPLES  —  for learning only (these do NOT appear in the Quote Builder dropdown)</t>
  </si>
  <si>
    <t xml:space="preserve">Jollof Chicken &amp; Rice</t>
  </si>
  <si>
    <t xml:space="preserve">Beef Lasagna (9×13)</t>
  </si>
  <si>
    <t xml:space="preserve">  YOUR DISHES  —  enter your real dishes here (these fill the Quote Builder dropdown)</t>
  </si>
  <si>
    <t xml:space="preserve">  Shaded = you type here.   White = calculated for you.   Blue numbers are inputs you can change any time (ingredient cost, margin, pan fill).</t>
  </si>
  <si>
    <t xml:space="preserve">READING THE JOLLOF EXAMPLE</t>
  </si>
  <si>
    <t xml:space="preserve">330 oz full − 90 oz empty = 240 oz of food.  At 7 oz per serving that's about 34 servings.  Costs total $58, so each plate costs about $1.70.  At a 40% margin you'd charge about $2.85 a serving — roughly $97 for the pan.  Change any blue number and every result updates.</t>
  </si>
  <si>
    <t xml:space="preserve">QUOTE BUILDER</t>
  </si>
  <si>
    <t xml:space="preserve">A client tells you how many guests. This works backward to how many pans to make and what to quote.</t>
  </si>
  <si>
    <t xml:space="preserve">STEP 1 — Pick a dish from the dropdown (the list comes from YOUR DISHES on the calculator tab)</t>
  </si>
  <si>
    <t xml:space="preserve">Dish (pick from dropdown)</t>
  </si>
  <si>
    <t xml:space="preserve">Guests to feed</t>
  </si>
  <si>
    <t xml:space="preserve">Pans needed</t>
  </si>
  <si>
    <t xml:space="preserve">Quote total</t>
  </si>
  <si>
    <t xml:space="preserve">  EXAMPLES  —  demo quotes built from the calculator examples</t>
  </si>
  <si>
    <t xml:space="preserve">  YOUR QUOTES  —  pick a dish from the dropdown and enter guest count</t>
  </si>
  <si>
    <t xml:space="preserve">Green numbers pull straight from your calculator. Pans are rounded UP — you can't make half a pan, and a little extra covers big appetites. Adjust up if guests are heavy eaters.</t>
  </si>
  <si>
    <t xml:space="preserve">  In the YOUR QUOTES rows, click a dish cell and use the dropdown — only dishes you've added under YOUR DISHES on the calculator will appear. 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</si>
</sst>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\$#,##0.00"/>
    <numFmt numFmtId="168" formatCode="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3A5F"/>
      <name val="Arial"/>
      <family val="0"/>
      <charset val="1"/>
    </font>
    <font>
      <i val="true"/>
      <sz val="12"/>
      <color rgb="FF2C7A7B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2C7A7B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8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3A5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0"/>
      <color rgb="FF008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C7A7B"/>
        <bgColor rgb="FF008080"/>
      </patternFill>
    </fill>
    <fill>
      <patternFill patternType="solid">
        <fgColor rgb="FFE8EEF4"/>
        <bgColor rgb="FFFBF7EF"/>
      </patternFill>
    </fill>
    <fill>
      <patternFill patternType="solid">
        <fgColor rgb="FFF6C453"/>
        <bgColor rgb="FFFFCC00"/>
      </patternFill>
    </fill>
    <fill>
      <patternFill patternType="solid">
        <fgColor rgb="FFFFF9E6"/>
        <bgColor rgb="FFFBF7EF"/>
      </patternFill>
    </fill>
    <fill>
      <patternFill patternType="solid">
        <fgColor rgb="FF1F3A5F"/>
        <bgColor rgb="FF333333"/>
      </patternFill>
    </fill>
    <fill>
      <patternFill patternType="solid">
        <fgColor rgb="FFFFFFFF"/>
        <bgColor rgb="FFFBF7EF"/>
      </patternFill>
    </fill>
    <fill>
      <patternFill patternType="solid">
        <fgColor rgb="FF6B7280"/>
        <bgColor rgb="FF808080"/>
      </patternFill>
    </fill>
    <fill>
      <patternFill patternType="solid">
        <fgColor rgb="FFFBF7EF"/>
        <bgColor rgb="FFFFF9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9E0"/>
      </left>
      <right style="thin">
        <color rgb="FFD3D9E0"/>
      </right>
      <top style="thin">
        <color rgb="FFD3D9E0"/>
      </top>
      <bottom style="thin">
        <color rgb="FFD3D9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C7A7B"/>
      <rgbColor rgb="FFC0C0C0"/>
      <rgbColor rgb="FF808080"/>
      <rgbColor rgb="FF9999FF"/>
      <rgbColor rgb="FF993366"/>
      <rgbColor rgb="FFFFF9E6"/>
      <rgbColor rgb="FFE8EEF4"/>
      <rgbColor rgb="FF660066"/>
      <rgbColor rgb="FFFF8080"/>
      <rgbColor rgb="FF0066CC"/>
      <rgbColor rgb="FFD3D9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F7EF"/>
      <rgbColor rgb="FFCCFFCC"/>
      <rgbColor rgb="FFFFFF99"/>
      <rgbColor rgb="FF99CCFF"/>
      <rgbColor rgb="FFFF99CC"/>
      <rgbColor rgb="FFCC99FF"/>
      <rgbColor rgb="FFF6C453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6"/>
    <col collapsed="false" customWidth="true" hidden="false" outlineLevel="0" max="3" min="3" style="0" width="3"/>
  </cols>
  <sheetData>
    <row r="2" customFormat="false" ht="33.75" hidden="false" customHeight="true" outlineLevel="0" collapsed="false">
      <c r="B2" s="1" t="s">
        <v>0</v>
      </c>
    </row>
    <row r="3" customFormat="false" ht="21.75" hidden="false" customHeight="true" outlineLevel="0" collapsed="false">
      <c r="B3" s="2" t="s">
        <v>1</v>
      </c>
    </row>
    <row r="4" customFormat="false" ht="6" hidden="false" customHeight="true" outlineLevel="0" collapsed="false"/>
    <row r="5" customFormat="false" ht="21.75" hidden="false" customHeight="true" outlineLevel="0" collapsed="false">
      <c r="B5" s="3" t="s">
        <v>2</v>
      </c>
    </row>
    <row r="6" customFormat="false" ht="61.5" hidden="false" customHeight="true" outlineLevel="0" collapsed="false">
      <c r="B6" s="4" t="s">
        <v>3</v>
      </c>
    </row>
    <row r="8" customFormat="false" ht="21.75" hidden="false" customHeight="true" outlineLevel="0" collapsed="false">
      <c r="B8" s="3" t="s">
        <v>4</v>
      </c>
    </row>
    <row r="9" customFormat="false" ht="39.75" hidden="false" customHeight="true" outlineLevel="0" collapsed="false">
      <c r="B9" s="4" t="s">
        <v>5</v>
      </c>
    </row>
    <row r="11" customFormat="false" ht="19.5" hidden="false" customHeight="true" outlineLevel="0" collapsed="false">
      <c r="B11" s="5" t="s">
        <v>6</v>
      </c>
    </row>
    <row r="12" customFormat="false" ht="15.75" hidden="false" customHeight="true" outlineLevel="0" collapsed="false">
      <c r="B12" s="6" t="s">
        <v>7</v>
      </c>
    </row>
    <row r="13" customFormat="false" ht="19.5" hidden="false" customHeight="true" outlineLevel="0" collapsed="false">
      <c r="B13" s="5" t="s">
        <v>8</v>
      </c>
    </row>
    <row r="14" customFormat="false" ht="15.75" hidden="false" customHeight="true" outlineLevel="0" collapsed="false">
      <c r="B14" s="6" t="s">
        <v>9</v>
      </c>
    </row>
    <row r="15" customFormat="false" ht="19.5" hidden="false" customHeight="true" outlineLevel="0" collapsed="false">
      <c r="B15" s="5" t="s">
        <v>10</v>
      </c>
    </row>
    <row r="16" customFormat="false" ht="15.75" hidden="false" customHeight="true" outlineLevel="0" collapsed="false">
      <c r="B16" s="6" t="s">
        <v>11</v>
      </c>
    </row>
    <row r="17" customFormat="false" ht="19.5" hidden="false" customHeight="true" outlineLevel="0" collapsed="false">
      <c r="B17" s="5" t="s">
        <v>12</v>
      </c>
    </row>
    <row r="18" customFormat="false" ht="15.75" hidden="false" customHeight="true" outlineLevel="0" collapsed="false">
      <c r="B18" s="6" t="s">
        <v>13</v>
      </c>
    </row>
    <row r="19" customFormat="false" ht="19.5" hidden="false" customHeight="true" outlineLevel="0" collapsed="false">
      <c r="B19" s="5" t="s">
        <v>14</v>
      </c>
    </row>
    <row r="20" customFormat="false" ht="15.75" hidden="false" customHeight="true" outlineLevel="0" collapsed="false">
      <c r="B20" s="6" t="s">
        <v>15</v>
      </c>
    </row>
    <row r="21" customFormat="false" ht="19.5" hidden="false" customHeight="true" outlineLevel="0" collapsed="false">
      <c r="B21" s="5" t="s">
        <v>16</v>
      </c>
    </row>
    <row r="22" customFormat="false" ht="15.75" hidden="false" customHeight="true" outlineLevel="0" collapsed="false">
      <c r="B22" s="6" t="s">
        <v>17</v>
      </c>
    </row>
    <row r="24" customFormat="false" ht="21.75" hidden="false" customHeight="true" outlineLevel="0" collapsed="false">
      <c r="B24" s="3" t="s">
        <v>18</v>
      </c>
    </row>
    <row r="25" customFormat="false" ht="57.75" hidden="false" customHeight="true" outlineLevel="0" collapsed="false">
      <c r="B25" s="4" t="s">
        <v>19</v>
      </c>
    </row>
    <row r="27" customFormat="false" ht="21.75" hidden="false" customHeight="true" outlineLevel="0" collapsed="false">
      <c r="B27" s="7" t="s">
        <v>20</v>
      </c>
    </row>
    <row r="28" customFormat="false" ht="18" hidden="false" customHeight="true" outlineLevel="0" collapsed="false">
      <c r="B28" s="8" t="s">
        <v>21</v>
      </c>
    </row>
    <row r="29" customFormat="false" ht="30" hidden="false" customHeight="true" outlineLevel="0" collapsed="false">
      <c r="B29" s="9" t="s">
        <v>22</v>
      </c>
    </row>
    <row r="30" customFormat="false" ht="18" hidden="false" customHeight="true" outlineLevel="0" collapsed="false">
      <c r="B30" s="8" t="s">
        <v>23</v>
      </c>
    </row>
    <row r="31" customFormat="false" ht="30" hidden="false" customHeight="true" outlineLevel="0" collapsed="false">
      <c r="B31" s="9" t="s">
        <v>24</v>
      </c>
    </row>
    <row r="32" customFormat="false" ht="18" hidden="false" customHeight="true" outlineLevel="0" collapsed="false">
      <c r="B32" s="8" t="s">
        <v>25</v>
      </c>
    </row>
    <row r="33" customFormat="false" ht="30" hidden="false" customHeight="true" outlineLevel="0" collapsed="false">
      <c r="B33" s="9" t="s">
        <v>26</v>
      </c>
    </row>
    <row r="35" customFormat="false" ht="21.75" hidden="false" customHeight="true" outlineLevel="0" collapsed="false">
      <c r="B35" s="1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52"/>
  </cols>
  <sheetData>
    <row r="2" customFormat="false" ht="27.75" hidden="false" customHeight="true" outlineLevel="0" collapsed="false">
      <c r="B2" s="11" t="s">
        <v>28</v>
      </c>
      <c r="C2" s="11"/>
      <c r="D2" s="11"/>
    </row>
    <row r="3" customFormat="false" ht="18" hidden="false" customHeight="true" outlineLevel="0" collapsed="false">
      <c r="B3" s="12" t="s">
        <v>29</v>
      </c>
      <c r="C3" s="12"/>
      <c r="D3" s="12"/>
    </row>
    <row r="5" customFormat="false" ht="19.5" hidden="false" customHeight="true" outlineLevel="0" collapsed="false">
      <c r="B5" s="13" t="s">
        <v>30</v>
      </c>
      <c r="C5" s="14" t="s">
        <v>31</v>
      </c>
      <c r="D5" s="13" t="s">
        <v>32</v>
      </c>
    </row>
    <row r="6" customFormat="false" ht="25.5" hidden="false" customHeight="true" outlineLevel="0" collapsed="false">
      <c r="B6" s="15" t="s">
        <v>33</v>
      </c>
      <c r="C6" s="16" t="s">
        <v>34</v>
      </c>
      <c r="D6" s="17" t="s">
        <v>35</v>
      </c>
    </row>
    <row r="7" customFormat="false" ht="25.5" hidden="false" customHeight="true" outlineLevel="0" collapsed="false">
      <c r="B7" s="18" t="s">
        <v>36</v>
      </c>
      <c r="C7" s="19" t="s">
        <v>37</v>
      </c>
      <c r="D7" s="20" t="s">
        <v>38</v>
      </c>
    </row>
    <row r="8" customFormat="false" ht="25.5" hidden="false" customHeight="true" outlineLevel="0" collapsed="false">
      <c r="B8" s="15" t="s">
        <v>39</v>
      </c>
      <c r="C8" s="16" t="s">
        <v>34</v>
      </c>
      <c r="D8" s="17" t="s">
        <v>40</v>
      </c>
    </row>
    <row r="9" customFormat="false" ht="25.5" hidden="false" customHeight="true" outlineLevel="0" collapsed="false">
      <c r="B9" s="18" t="s">
        <v>41</v>
      </c>
      <c r="C9" s="19" t="s">
        <v>42</v>
      </c>
      <c r="D9" s="20" t="s">
        <v>43</v>
      </c>
    </row>
    <row r="10" customFormat="false" ht="25.5" hidden="false" customHeight="true" outlineLevel="0" collapsed="false">
      <c r="B10" s="15" t="s">
        <v>44</v>
      </c>
      <c r="C10" s="16" t="s">
        <v>45</v>
      </c>
      <c r="D10" s="17" t="s">
        <v>46</v>
      </c>
    </row>
    <row r="11" customFormat="false" ht="25.5" hidden="false" customHeight="true" outlineLevel="0" collapsed="false">
      <c r="B11" s="18" t="s">
        <v>47</v>
      </c>
      <c r="C11" s="19" t="s">
        <v>48</v>
      </c>
      <c r="D11" s="20" t="s">
        <v>49</v>
      </c>
    </row>
    <row r="12" customFormat="false" ht="25.5" hidden="false" customHeight="true" outlineLevel="0" collapsed="false">
      <c r="B12" s="15" t="s">
        <v>50</v>
      </c>
      <c r="C12" s="16" t="s">
        <v>51</v>
      </c>
      <c r="D12" s="17" t="s">
        <v>52</v>
      </c>
    </row>
    <row r="13" customFormat="false" ht="25.5" hidden="false" customHeight="true" outlineLevel="0" collapsed="false">
      <c r="B13" s="18" t="s">
        <v>53</v>
      </c>
      <c r="C13" s="19" t="s">
        <v>45</v>
      </c>
      <c r="D13" s="20" t="s">
        <v>54</v>
      </c>
    </row>
    <row r="15" customFormat="false" ht="21.75" hidden="false" customHeight="true" outlineLevel="0" collapsed="false">
      <c r="B15" s="21" t="s">
        <v>55</v>
      </c>
      <c r="C15" s="21"/>
      <c r="D15" s="21"/>
    </row>
    <row r="17" customFormat="false" ht="31.5" hidden="false" customHeight="true" outlineLevel="0" collapsed="false">
      <c r="B17" s="12" t="s">
        <v>56</v>
      </c>
      <c r="C17" s="12"/>
      <c r="D17" s="12"/>
    </row>
  </sheetData>
  <mergeCells count="4">
    <mergeCell ref="B2:D2"/>
    <mergeCell ref="B3:D3"/>
    <mergeCell ref="B15:D15"/>
    <mergeCell ref="B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4"/>
    <col collapsed="false" customWidth="true" hidden="false" outlineLevel="0" max="7" min="3" style="0" width="11"/>
    <col collapsed="false" customWidth="true" hidden="false" outlineLevel="0" max="10" min="8" style="0" width="13"/>
    <col collapsed="false" customWidth="true" hidden="false" outlineLevel="0" max="12" min="11" style="0" width="12"/>
    <col collapsed="false" customWidth="true" hidden="false" outlineLevel="0" max="13" min="13" style="0" width="10"/>
    <col collapsed="false" customWidth="true" hidden="false" outlineLevel="0" max="15" min="14" style="0" width="12"/>
    <col collapsed="false" customWidth="true" hidden="false" outlineLevel="0" max="16" min="16" style="0" width="2.5"/>
  </cols>
  <sheetData>
    <row r="2" customFormat="false" ht="27.75" hidden="false" customHeight="true" outlineLevel="0" collapsed="false">
      <c r="B2" s="11" t="s">
        <v>57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customFormat="false" ht="18" hidden="false" customHeight="true" outlineLevel="0" collapsed="false">
      <c r="B3" s="12" t="s">
        <v>58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customFormat="false" ht="18" hidden="false" customHeight="true" outlineLevel="0" collapsed="false">
      <c r="B4" s="22"/>
      <c r="C4" s="23" t="s">
        <v>59</v>
      </c>
      <c r="D4" s="23"/>
      <c r="E4" s="23"/>
      <c r="F4" s="23"/>
      <c r="G4" s="23"/>
      <c r="H4" s="22" t="s">
        <v>60</v>
      </c>
      <c r="I4" s="22"/>
      <c r="J4" s="22"/>
      <c r="K4" s="22"/>
      <c r="L4" s="22"/>
      <c r="M4" s="24" t="s">
        <v>61</v>
      </c>
      <c r="N4" s="24"/>
      <c r="O4" s="24"/>
    </row>
    <row r="5" customFormat="false" ht="30" hidden="false" customHeight="true" outlineLevel="0" collapsed="false">
      <c r="B5" s="25" t="s">
        <v>62</v>
      </c>
      <c r="C5" s="26" t="s">
        <v>63</v>
      </c>
      <c r="D5" s="26" t="s">
        <v>64</v>
      </c>
      <c r="E5" s="25" t="s">
        <v>65</v>
      </c>
      <c r="F5" s="26" t="s">
        <v>66</v>
      </c>
      <c r="G5" s="25" t="s">
        <v>67</v>
      </c>
      <c r="H5" s="26" t="s">
        <v>68</v>
      </c>
      <c r="I5" s="26" t="s">
        <v>69</v>
      </c>
      <c r="J5" s="26" t="s">
        <v>70</v>
      </c>
      <c r="K5" s="25" t="s">
        <v>71</v>
      </c>
      <c r="L5" s="25" t="s">
        <v>72</v>
      </c>
      <c r="M5" s="26" t="s">
        <v>73</v>
      </c>
      <c r="N5" s="25" t="s">
        <v>74</v>
      </c>
      <c r="O5" s="25" t="s">
        <v>75</v>
      </c>
    </row>
    <row r="6" customFormat="false" ht="16.5" hidden="false" customHeight="true" outlineLevel="0" collapsed="false">
      <c r="B6" s="27" t="s">
        <v>76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customFormat="false" ht="19.5" hidden="false" customHeight="true" outlineLevel="0" collapsed="false">
      <c r="B7" s="28" t="s">
        <v>77</v>
      </c>
      <c r="C7" s="29" t="n">
        <v>90</v>
      </c>
      <c r="D7" s="29" t="n">
        <v>330</v>
      </c>
      <c r="E7" s="30" t="n">
        <f aca="false">IF(OR(C7="",D7=""),"",D7-C7)</f>
        <v>240</v>
      </c>
      <c r="F7" s="31" t="n">
        <v>7</v>
      </c>
      <c r="G7" s="32" t="n">
        <f aca="false">IF(OR(E7="",F7="",F7=0),"",E7/F7)</f>
        <v>34.2857142857143</v>
      </c>
      <c r="H7" s="33" t="n">
        <v>34</v>
      </c>
      <c r="I7" s="33" t="n">
        <v>18</v>
      </c>
      <c r="J7" s="33" t="n">
        <v>6</v>
      </c>
      <c r="K7" s="34" t="n">
        <f aca="false">IF(COUNT(H7:J7)=0,"",SUM(H7:J7))</f>
        <v>58</v>
      </c>
      <c r="L7" s="34" t="n">
        <f aca="false">IF(OR(G7="",G7=0,K7=""),"",K7/G7)</f>
        <v>1.69166666666667</v>
      </c>
      <c r="M7" s="35" t="n">
        <v>0.4</v>
      </c>
      <c r="N7" s="36" t="n">
        <f aca="false">IF(OR(L7="",M7="",M7&gt;=1),"",L7/(1-M7))</f>
        <v>2.81944444444444</v>
      </c>
      <c r="O7" s="36" t="n">
        <f aca="false">IF(OR(N7="",G7=""),"",N7*G7)</f>
        <v>96.6666666666667</v>
      </c>
    </row>
    <row r="8" customFormat="false" ht="19.5" hidden="false" customHeight="true" outlineLevel="0" collapsed="false">
      <c r="B8" s="28" t="s">
        <v>78</v>
      </c>
      <c r="C8" s="29" t="n">
        <v>80</v>
      </c>
      <c r="D8" s="29" t="n">
        <v>260</v>
      </c>
      <c r="E8" s="30" t="n">
        <f aca="false">IF(OR(C8="",D8=""),"",D8-C8)</f>
        <v>180</v>
      </c>
      <c r="F8" s="31" t="n">
        <v>9</v>
      </c>
      <c r="G8" s="32" t="n">
        <f aca="false">IF(OR(E8="",F8="",F8=0),"",E8/F8)</f>
        <v>20</v>
      </c>
      <c r="H8" s="33" t="n">
        <v>22</v>
      </c>
      <c r="I8" s="33" t="n">
        <v>15</v>
      </c>
      <c r="J8" s="33" t="n">
        <v>5</v>
      </c>
      <c r="K8" s="34" t="n">
        <f aca="false">IF(COUNT(H8:J8)=0,"",SUM(H8:J8))</f>
        <v>42</v>
      </c>
      <c r="L8" s="34" t="n">
        <f aca="false">IF(OR(G8="",G8=0,K8=""),"",K8/G8)</f>
        <v>2.1</v>
      </c>
      <c r="M8" s="35" t="n">
        <v>0.45</v>
      </c>
      <c r="N8" s="36" t="n">
        <f aca="false">IF(OR(L8="",M8="",M8&gt;=1),"",L8/(1-M8))</f>
        <v>3.81818181818182</v>
      </c>
      <c r="O8" s="36" t="n">
        <f aca="false">IF(OR(N8="",G8=""),"",N8*G8)</f>
        <v>76.3636363636364</v>
      </c>
    </row>
    <row r="9" customFormat="false" ht="16.5" hidden="false" customHeight="true" outlineLevel="0" collapsed="false">
      <c r="B9" s="37" t="s">
        <v>79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</row>
    <row r="10" customFormat="false" ht="19.5" hidden="false" customHeight="true" outlineLevel="0" collapsed="false">
      <c r="B10" s="28"/>
      <c r="C10" s="29"/>
      <c r="D10" s="29"/>
      <c r="E10" s="38" t="str">
        <f aca="false">IF(OR(C10="",D10=""),"",D10-C10)</f>
        <v/>
      </c>
      <c r="F10" s="31"/>
      <c r="G10" s="39" t="str">
        <f aca="false">IF(OR(E10="",F10="",F10=0),"",E10/F10)</f>
        <v/>
      </c>
      <c r="H10" s="33"/>
      <c r="I10" s="33"/>
      <c r="J10" s="33"/>
      <c r="K10" s="40" t="str">
        <f aca="false">IF(COUNT(H10:J10)=0,"",SUM(H10:J10))</f>
        <v/>
      </c>
      <c r="L10" s="40" t="str">
        <f aca="false">IF(OR(G10="",G10=0,K10=""),"",K10/G10)</f>
        <v/>
      </c>
      <c r="M10" s="35"/>
      <c r="N10" s="41" t="str">
        <f aca="false">IF(OR(L10="",M10="",M10&gt;=1),"",L10/(1-M10))</f>
        <v/>
      </c>
      <c r="O10" s="41" t="str">
        <f aca="false">IF(OR(N10="",G10=""),"",N10*G10)</f>
        <v/>
      </c>
    </row>
    <row r="11" customFormat="false" ht="19.5" hidden="false" customHeight="true" outlineLevel="0" collapsed="false">
      <c r="B11" s="28"/>
      <c r="C11" s="29"/>
      <c r="D11" s="29"/>
      <c r="E11" s="42" t="str">
        <f aca="false">IF(OR(C11="",D11=""),"",D11-C11)</f>
        <v/>
      </c>
      <c r="F11" s="31"/>
      <c r="G11" s="43" t="str">
        <f aca="false">IF(OR(E11="",F11="",F11=0),"",E11/F11)</f>
        <v/>
      </c>
      <c r="H11" s="33"/>
      <c r="I11" s="33"/>
      <c r="J11" s="33"/>
      <c r="K11" s="44" t="str">
        <f aca="false">IF(COUNT(H11:J11)=0,"",SUM(H11:J11))</f>
        <v/>
      </c>
      <c r="L11" s="44" t="str">
        <f aca="false">IF(OR(G11="",G11=0,K11=""),"",K11/G11)</f>
        <v/>
      </c>
      <c r="M11" s="35"/>
      <c r="N11" s="45" t="str">
        <f aca="false">IF(OR(L11="",M11="",M11&gt;=1),"",L11/(1-M11))</f>
        <v/>
      </c>
      <c r="O11" s="45" t="str">
        <f aca="false">IF(OR(N11="",G11=""),"",N11*G11)</f>
        <v/>
      </c>
    </row>
    <row r="12" customFormat="false" ht="19.5" hidden="false" customHeight="true" outlineLevel="0" collapsed="false">
      <c r="B12" s="28"/>
      <c r="C12" s="29"/>
      <c r="D12" s="29"/>
      <c r="E12" s="38" t="str">
        <f aca="false">IF(OR(C12="",D12=""),"",D12-C12)</f>
        <v/>
      </c>
      <c r="F12" s="31"/>
      <c r="G12" s="39" t="str">
        <f aca="false">IF(OR(E12="",F12="",F12=0),"",E12/F12)</f>
        <v/>
      </c>
      <c r="H12" s="33"/>
      <c r="I12" s="33"/>
      <c r="J12" s="33"/>
      <c r="K12" s="40" t="str">
        <f aca="false">IF(COUNT(H12:J12)=0,"",SUM(H12:J12))</f>
        <v/>
      </c>
      <c r="L12" s="40" t="str">
        <f aca="false">IF(OR(G12="",G12=0,K12=""),"",K12/G12)</f>
        <v/>
      </c>
      <c r="M12" s="35"/>
      <c r="N12" s="41" t="str">
        <f aca="false">IF(OR(L12="",M12="",M12&gt;=1),"",L12/(1-M12))</f>
        <v/>
      </c>
      <c r="O12" s="41" t="str">
        <f aca="false">IF(OR(N12="",G12=""),"",N12*G12)</f>
        <v/>
      </c>
    </row>
    <row r="13" customFormat="false" ht="19.5" hidden="false" customHeight="true" outlineLevel="0" collapsed="false">
      <c r="B13" s="28"/>
      <c r="C13" s="29"/>
      <c r="D13" s="29"/>
      <c r="E13" s="42" t="str">
        <f aca="false">IF(OR(C13="",D13=""),"",D13-C13)</f>
        <v/>
      </c>
      <c r="F13" s="31"/>
      <c r="G13" s="43" t="str">
        <f aca="false">IF(OR(E13="",F13="",F13=0),"",E13/F13)</f>
        <v/>
      </c>
      <c r="H13" s="33"/>
      <c r="I13" s="33"/>
      <c r="J13" s="33"/>
      <c r="K13" s="44" t="str">
        <f aca="false">IF(COUNT(H13:J13)=0,"",SUM(H13:J13))</f>
        <v/>
      </c>
      <c r="L13" s="44" t="str">
        <f aca="false">IF(OR(G13="",G13=0,K13=""),"",K13/G13)</f>
        <v/>
      </c>
      <c r="M13" s="35"/>
      <c r="N13" s="45" t="str">
        <f aca="false">IF(OR(L13="",M13="",M13&gt;=1),"",L13/(1-M13))</f>
        <v/>
      </c>
      <c r="O13" s="45" t="str">
        <f aca="false">IF(OR(N13="",G13=""),"",N13*G13)</f>
        <v/>
      </c>
    </row>
    <row r="14" customFormat="false" ht="19.5" hidden="false" customHeight="true" outlineLevel="0" collapsed="false">
      <c r="B14" s="28"/>
      <c r="C14" s="29"/>
      <c r="D14" s="29"/>
      <c r="E14" s="38" t="str">
        <f aca="false">IF(OR(C14="",D14=""),"",D14-C14)</f>
        <v/>
      </c>
      <c r="F14" s="31"/>
      <c r="G14" s="39" t="str">
        <f aca="false">IF(OR(E14="",F14="",F14=0),"",E14/F14)</f>
        <v/>
      </c>
      <c r="H14" s="33"/>
      <c r="I14" s="33"/>
      <c r="J14" s="33"/>
      <c r="K14" s="40" t="str">
        <f aca="false">IF(COUNT(H14:J14)=0,"",SUM(H14:J14))</f>
        <v/>
      </c>
      <c r="L14" s="40" t="str">
        <f aca="false">IF(OR(G14="",G14=0,K14=""),"",K14/G14)</f>
        <v/>
      </c>
      <c r="M14" s="35"/>
      <c r="N14" s="41" t="str">
        <f aca="false">IF(OR(L14="",M14="",M14&gt;=1),"",L14/(1-M14))</f>
        <v/>
      </c>
      <c r="O14" s="41" t="str">
        <f aca="false">IF(OR(N14="",G14=""),"",N14*G14)</f>
        <v/>
      </c>
    </row>
    <row r="15" customFormat="false" ht="19.5" hidden="false" customHeight="true" outlineLevel="0" collapsed="false">
      <c r="B15" s="28"/>
      <c r="C15" s="29"/>
      <c r="D15" s="29"/>
      <c r="E15" s="42" t="str">
        <f aca="false">IF(OR(C15="",D15=""),"",D15-C15)</f>
        <v/>
      </c>
      <c r="F15" s="31"/>
      <c r="G15" s="43" t="str">
        <f aca="false">IF(OR(E15="",F15="",F15=0),"",E15/F15)</f>
        <v/>
      </c>
      <c r="H15" s="33"/>
      <c r="I15" s="33"/>
      <c r="J15" s="33"/>
      <c r="K15" s="44" t="str">
        <f aca="false">IF(COUNT(H15:J15)=0,"",SUM(H15:J15))</f>
        <v/>
      </c>
      <c r="L15" s="44" t="str">
        <f aca="false">IF(OR(G15="",G15=0,K15=""),"",K15/G15)</f>
        <v/>
      </c>
      <c r="M15" s="35"/>
      <c r="N15" s="45" t="str">
        <f aca="false">IF(OR(L15="",M15="",M15&gt;=1),"",L15/(1-M15))</f>
        <v/>
      </c>
      <c r="O15" s="45" t="str">
        <f aca="false">IF(OR(N15="",G15=""),"",N15*G15)</f>
        <v/>
      </c>
    </row>
    <row r="16" customFormat="false" ht="19.5" hidden="false" customHeight="true" outlineLevel="0" collapsed="false">
      <c r="B16" s="28"/>
      <c r="C16" s="29"/>
      <c r="D16" s="29"/>
      <c r="E16" s="38" t="str">
        <f aca="false">IF(OR(C16="",D16=""),"",D16-C16)</f>
        <v/>
      </c>
      <c r="F16" s="31"/>
      <c r="G16" s="39" t="str">
        <f aca="false">IF(OR(E16="",F16="",F16=0),"",E16/F16)</f>
        <v/>
      </c>
      <c r="H16" s="33"/>
      <c r="I16" s="33"/>
      <c r="J16" s="33"/>
      <c r="K16" s="40" t="str">
        <f aca="false">IF(COUNT(H16:J16)=0,"",SUM(H16:J16))</f>
        <v/>
      </c>
      <c r="L16" s="40" t="str">
        <f aca="false">IF(OR(G16="",G16=0,K16=""),"",K16/G16)</f>
        <v/>
      </c>
      <c r="M16" s="35"/>
      <c r="N16" s="41" t="str">
        <f aca="false">IF(OR(L16="",M16="",M16&gt;=1),"",L16/(1-M16))</f>
        <v/>
      </c>
      <c r="O16" s="41" t="str">
        <f aca="false">IF(OR(N16="",G16=""),"",N16*G16)</f>
        <v/>
      </c>
    </row>
    <row r="17" customFormat="false" ht="19.5" hidden="false" customHeight="true" outlineLevel="0" collapsed="false">
      <c r="B17" s="28"/>
      <c r="C17" s="29"/>
      <c r="D17" s="29"/>
      <c r="E17" s="42" t="str">
        <f aca="false">IF(OR(C17="",D17=""),"",D17-C17)</f>
        <v/>
      </c>
      <c r="F17" s="31"/>
      <c r="G17" s="43" t="str">
        <f aca="false">IF(OR(E17="",F17="",F17=0),"",E17/F17)</f>
        <v/>
      </c>
      <c r="H17" s="33"/>
      <c r="I17" s="33"/>
      <c r="J17" s="33"/>
      <c r="K17" s="44" t="str">
        <f aca="false">IF(COUNT(H17:J17)=0,"",SUM(H17:J17))</f>
        <v/>
      </c>
      <c r="L17" s="44" t="str">
        <f aca="false">IF(OR(G17="",G17=0,K17=""),"",K17/G17)</f>
        <v/>
      </c>
      <c r="M17" s="35"/>
      <c r="N17" s="45" t="str">
        <f aca="false">IF(OR(L17="",M17="",M17&gt;=1),"",L17/(1-M17))</f>
        <v/>
      </c>
      <c r="O17" s="45" t="str">
        <f aca="false">IF(OR(N17="",G17=""),"",N17*G17)</f>
        <v/>
      </c>
    </row>
    <row r="18" customFormat="false" ht="19.5" hidden="false" customHeight="true" outlineLevel="0" collapsed="false">
      <c r="B18" s="28"/>
      <c r="C18" s="29"/>
      <c r="D18" s="29"/>
      <c r="E18" s="38" t="str">
        <f aca="false">IF(OR(C18="",D18=""),"",D18-C18)</f>
        <v/>
      </c>
      <c r="F18" s="31"/>
      <c r="G18" s="39" t="str">
        <f aca="false">IF(OR(E18="",F18="",F18=0),"",E18/F18)</f>
        <v/>
      </c>
      <c r="H18" s="33"/>
      <c r="I18" s="33"/>
      <c r="J18" s="33"/>
      <c r="K18" s="40" t="str">
        <f aca="false">IF(COUNT(H18:J18)=0,"",SUM(H18:J18))</f>
        <v/>
      </c>
      <c r="L18" s="40" t="str">
        <f aca="false">IF(OR(G18="",G18=0,K18=""),"",K18/G18)</f>
        <v/>
      </c>
      <c r="M18" s="35"/>
      <c r="N18" s="41" t="str">
        <f aca="false">IF(OR(L18="",M18="",M18&gt;=1),"",L18/(1-M18))</f>
        <v/>
      </c>
      <c r="O18" s="41" t="str">
        <f aca="false">IF(OR(N18="",G18=""),"",N18*G18)</f>
        <v/>
      </c>
    </row>
    <row r="19" customFormat="false" ht="19.5" hidden="false" customHeight="true" outlineLevel="0" collapsed="false">
      <c r="B19" s="28"/>
      <c r="C19" s="29"/>
      <c r="D19" s="29"/>
      <c r="E19" s="42" t="str">
        <f aca="false">IF(OR(C19="",D19=""),"",D19-C19)</f>
        <v/>
      </c>
      <c r="F19" s="31"/>
      <c r="G19" s="43" t="str">
        <f aca="false">IF(OR(E19="",F19="",F19=0),"",E19/F19)</f>
        <v/>
      </c>
      <c r="H19" s="33"/>
      <c r="I19" s="33"/>
      <c r="J19" s="33"/>
      <c r="K19" s="44" t="str">
        <f aca="false">IF(COUNT(H19:J19)=0,"",SUM(H19:J19))</f>
        <v/>
      </c>
      <c r="L19" s="44" t="str">
        <f aca="false">IF(OR(G19="",G19=0,K19=""),"",K19/G19)</f>
        <v/>
      </c>
      <c r="M19" s="35"/>
      <c r="N19" s="45" t="str">
        <f aca="false">IF(OR(L19="",M19="",M19&gt;=1),"",L19/(1-M19))</f>
        <v/>
      </c>
      <c r="O19" s="45" t="str">
        <f aca="false">IF(OR(N19="",G19=""),"",N19*G19)</f>
        <v/>
      </c>
    </row>
    <row r="21" customFormat="false" ht="24" hidden="false" customHeight="true" outlineLevel="0" collapsed="false">
      <c r="B21" s="21" t="s">
        <v>80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</row>
    <row r="23" customFormat="false" ht="19.5" hidden="false" customHeight="true" outlineLevel="0" collapsed="false">
      <c r="B23" s="46" t="s">
        <v>81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</row>
    <row r="24" customFormat="false" ht="18" hidden="false" customHeight="true" outlineLevel="0" collapsed="false">
      <c r="B24" s="47" t="s">
        <v>82</v>
      </c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</row>
    <row r="25" customFormat="false" ht="30" hidden="false" customHeight="true" outlineLevel="0" collapsed="false"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</row>
  </sheetData>
  <mergeCells count="10">
    <mergeCell ref="B2:O2"/>
    <mergeCell ref="B3:O3"/>
    <mergeCell ref="C4:G4"/>
    <mergeCell ref="H4:L4"/>
    <mergeCell ref="M4:O4"/>
    <mergeCell ref="B6:O6"/>
    <mergeCell ref="B9:O9"/>
    <mergeCell ref="B21:O21"/>
    <mergeCell ref="B23:O23"/>
    <mergeCell ref="B24:O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6"/>
    <col collapsed="false" customWidth="true" hidden="false" outlineLevel="0" max="5" min="3" style="0" width="18"/>
    <col collapsed="false" customWidth="true" hidden="false" outlineLevel="0" max="6" min="6" style="0" width="2.5"/>
  </cols>
  <sheetData>
    <row r="2" customFormat="false" ht="27.75" hidden="false" customHeight="true" outlineLevel="0" collapsed="false">
      <c r="B2" s="11" t="s">
        <v>83</v>
      </c>
      <c r="C2" s="11"/>
      <c r="D2" s="11"/>
      <c r="E2" s="11"/>
    </row>
    <row r="3" customFormat="false" ht="18" hidden="false" customHeight="true" outlineLevel="0" collapsed="false">
      <c r="B3" s="12" t="s">
        <v>84</v>
      </c>
      <c r="C3" s="12"/>
      <c r="D3" s="12"/>
      <c r="E3" s="12"/>
    </row>
    <row r="5" customFormat="false" ht="19.5" hidden="false" customHeight="true" outlineLevel="0" collapsed="false">
      <c r="B5" s="48" t="s">
        <v>85</v>
      </c>
      <c r="C5" s="48"/>
      <c r="D5" s="48"/>
      <c r="E5" s="48"/>
    </row>
    <row r="6" customFormat="false" ht="30" hidden="false" customHeight="true" outlineLevel="0" collapsed="false">
      <c r="B6" s="49" t="s">
        <v>86</v>
      </c>
      <c r="C6" s="49" t="s">
        <v>87</v>
      </c>
      <c r="D6" s="49" t="s">
        <v>88</v>
      </c>
      <c r="E6" s="49" t="s">
        <v>89</v>
      </c>
    </row>
    <row r="7" customFormat="false" ht="16.5" hidden="false" customHeight="true" outlineLevel="0" collapsed="false">
      <c r="B7" s="27" t="s">
        <v>90</v>
      </c>
      <c r="C7" s="27"/>
      <c r="D7" s="27"/>
      <c r="E7" s="27"/>
    </row>
    <row r="8" customFormat="false" ht="21.75" hidden="false" customHeight="true" outlineLevel="0" collapsed="false">
      <c r="B8" s="28" t="s">
        <v>77</v>
      </c>
      <c r="C8" s="29" t="n">
        <v>60</v>
      </c>
      <c r="D8" s="50" t="n">
        <f aca="false">IF(OR(B8="",C8=""),"",IFERROR(ROUNDUP(C8/IFERROR(VLOOKUP(B8,'Pan Pricing Calculator'!$B$7:$O$19,6,FALSE()),""),0),"check dish name"))</f>
        <v>2</v>
      </c>
      <c r="E8" s="51" t="n">
        <f aca="false">IF(OR(D8="",D8="check dish name"),"",IFERROR(D8*IFERROR(VLOOKUP(B8,'Pan Pricing Calculator'!$B$7:$O$19,14,FALSE()),""),""))</f>
        <v>193.333333333333</v>
      </c>
    </row>
    <row r="9" customFormat="false" ht="21.75" hidden="false" customHeight="true" outlineLevel="0" collapsed="false">
      <c r="B9" s="28" t="s">
        <v>78</v>
      </c>
      <c r="C9" s="29" t="n">
        <v>40</v>
      </c>
      <c r="D9" s="50" t="n">
        <f aca="false">IF(OR(B9="",C9=""),"",IFERROR(ROUNDUP(C9/IFERROR(VLOOKUP(B9,'Pan Pricing Calculator'!$B$7:$O$19,6,FALSE()),""),0),"check dish name"))</f>
        <v>2</v>
      </c>
      <c r="E9" s="51" t="n">
        <f aca="false">IF(OR(D9="",D9="check dish name"),"",IFERROR(D9*IFERROR(VLOOKUP(B9,'Pan Pricing Calculator'!$B$7:$O$19,14,FALSE()),""),""))</f>
        <v>152.727272727273</v>
      </c>
    </row>
    <row r="10" customFormat="false" ht="16.5" hidden="false" customHeight="true" outlineLevel="0" collapsed="false">
      <c r="B10" s="37" t="s">
        <v>91</v>
      </c>
      <c r="C10" s="37"/>
      <c r="D10" s="37"/>
      <c r="E10" s="37"/>
    </row>
    <row r="11" customFormat="false" ht="21.75" hidden="false" customHeight="true" outlineLevel="0" collapsed="false">
      <c r="B11" s="28"/>
      <c r="C11" s="29"/>
      <c r="D11" s="52" t="str">
        <f aca="false">IF(OR(B11="",C11=""),"",IFERROR(ROUNDUP(C11/IFERROR(VLOOKUP(B11,'Pan Pricing Calculator'!$B$7:$O$19,6,FALSE()),""),0),"check dish name"))</f>
        <v/>
      </c>
      <c r="E11" s="53" t="str">
        <f aca="false">IF(OR(D11="",D11="check dish name"),"",IFERROR(D11*IFERROR(VLOOKUP(B11,'Pan Pricing Calculator'!$B$7:$O$19,14,FALSE()),""),""))</f>
        <v/>
      </c>
    </row>
    <row r="12" customFormat="false" ht="21.75" hidden="false" customHeight="true" outlineLevel="0" collapsed="false">
      <c r="B12" s="28"/>
      <c r="C12" s="29"/>
      <c r="D12" s="54" t="str">
        <f aca="false">IF(OR(B12="",C12=""),"",IFERROR(ROUNDUP(C12/IFERROR(VLOOKUP(B12,'Pan Pricing Calculator'!$B$7:$O$19,6,FALSE()),""),0),"check dish name"))</f>
        <v/>
      </c>
      <c r="E12" s="55" t="str">
        <f aca="false">IF(OR(D12="",D12="check dish name"),"",IFERROR(D12*IFERROR(VLOOKUP(B12,'Pan Pricing Calculator'!$B$7:$O$19,14,FALSE()),""),""))</f>
        <v/>
      </c>
    </row>
    <row r="13" customFormat="false" ht="21.75" hidden="false" customHeight="true" outlineLevel="0" collapsed="false">
      <c r="B13" s="28"/>
      <c r="C13" s="29"/>
      <c r="D13" s="52" t="str">
        <f aca="false">IF(OR(B13="",C13=""),"",IFERROR(ROUNDUP(C13/IFERROR(VLOOKUP(B13,'Pan Pricing Calculator'!$B$7:$O$19,6,FALSE()),""),0),"check dish name"))</f>
        <v/>
      </c>
      <c r="E13" s="53" t="str">
        <f aca="false">IF(OR(D13="",D13="check dish name"),"",IFERROR(D13*IFERROR(VLOOKUP(B13,'Pan Pricing Calculator'!$B$7:$O$19,14,FALSE()),""),""))</f>
        <v/>
      </c>
    </row>
    <row r="14" customFormat="false" ht="21.75" hidden="false" customHeight="true" outlineLevel="0" collapsed="false">
      <c r="B14" s="28"/>
      <c r="C14" s="29"/>
      <c r="D14" s="54" t="str">
        <f aca="false">IF(OR(B14="",C14=""),"",IFERROR(ROUNDUP(C14/IFERROR(VLOOKUP(B14,'Pan Pricing Calculator'!$B$7:$O$19,6,FALSE()),""),0),"check dish name"))</f>
        <v/>
      </c>
      <c r="E14" s="55" t="str">
        <f aca="false">IF(OR(D14="",D14="check dish name"),"",IFERROR(D14*IFERROR(VLOOKUP(B14,'Pan Pricing Calculator'!$B$7:$O$19,14,FALSE()),""),""))</f>
        <v/>
      </c>
    </row>
    <row r="15" customFormat="false" ht="21.75" hidden="false" customHeight="true" outlineLevel="0" collapsed="false">
      <c r="B15" s="28"/>
      <c r="C15" s="29"/>
      <c r="D15" s="52" t="str">
        <f aca="false">IF(OR(B15="",C15=""),"",IFERROR(ROUNDUP(C15/IFERROR(VLOOKUP(B15,'Pan Pricing Calculator'!$B$7:$O$19,6,FALSE()),""),0),"check dish name"))</f>
        <v/>
      </c>
      <c r="E15" s="53" t="str">
        <f aca="false">IF(OR(D15="",D15="check dish name"),"",IFERROR(D15*IFERROR(VLOOKUP(B15,'Pan Pricing Calculator'!$B$7:$O$19,14,FALSE()),""),""))</f>
        <v/>
      </c>
    </row>
    <row r="17" customFormat="false" ht="30" hidden="false" customHeight="true" outlineLevel="0" collapsed="false">
      <c r="B17" s="12" t="s">
        <v>92</v>
      </c>
      <c r="C17" s="12"/>
      <c r="D17" s="12"/>
      <c r="E17" s="12"/>
    </row>
    <row r="19" customFormat="false" ht="24" hidden="false" customHeight="true" outlineLevel="0" collapsed="false">
      <c r="B19" s="21" t="s">
        <v>93</v>
      </c>
      <c r="C19" s="21"/>
      <c r="D19" s="21"/>
      <c r="E19" s="21"/>
    </row>
  </sheetData>
  <mergeCells count="7">
    <mergeCell ref="B2:E2"/>
    <mergeCell ref="B3:E3"/>
    <mergeCell ref="B5:E5"/>
    <mergeCell ref="B7:E7"/>
    <mergeCell ref="B10:E10"/>
    <mergeCell ref="B17:E17"/>
    <mergeCell ref="B19:E19"/>
  </mergeCells>
  <dataValidations count="1">
    <dataValidation allowBlank="true" error="Pick a dish from the list, or add it to the Pan Pricing Calculator tab first." errorStyle="stop" errorTitle="Choose from the list" operator="between" prompt="Pick a dish that's set up on the Pan Pricing Calculator tab." promptTitle="Dish" showDropDown="false" showErrorMessage="false" showInputMessage="false" sqref="B11:B15" type="list">
      <formula1>DishList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2026-07-08T20:19:11Z</dcterms:created>
  <dc:creator>openpyxl</dc:creator>
  <dc:description/>
  <dc:language>en-US</dc:language>
  <cp:lastModifiedBy/>
  <dcterms:modified xsi:type="dcterms:W3CDTF">2026-07-08T20:19:11Z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